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xr:revisionPtr revIDLastSave="0" documentId="13_ncr:1_{425833BC-C3C5-BF4E-85CF-A5BCF4F0B869}" xr6:coauthVersionLast="47" xr6:coauthVersionMax="47" xr10:uidLastSave="{00000000-0000-0000-0000-000000000000}"/>
  <bookViews>
    <workbookView xWindow="0" yWindow="600" windowWidth="28800" windowHeight="16340" xr2:uid="{00000000-000D-0000-FFFF-FFFF00000000}"/>
  </bookViews>
  <sheets>
    <sheet name="pick_and_place" sheetId="1" r:id="rId1"/>
    <sheet name="indexing_table" sheetId="2" r:id="rId2"/>
    <sheet name="sealing_station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G18" i="3"/>
  <c r="E18" i="3"/>
  <c r="D18" i="3"/>
  <c r="C18" i="3"/>
  <c r="H18" i="3" s="1"/>
  <c r="B18" i="3"/>
  <c r="A18" i="3"/>
  <c r="N17" i="3"/>
  <c r="A17" i="3"/>
  <c r="O16" i="3"/>
  <c r="J16" i="3"/>
  <c r="G16" i="3"/>
  <c r="E16" i="3"/>
  <c r="D16" i="3"/>
  <c r="C16" i="3"/>
  <c r="H16" i="3" s="1"/>
  <c r="B16" i="3"/>
  <c r="A16" i="3"/>
  <c r="N18" i="2"/>
  <c r="A18" i="2"/>
  <c r="N17" i="2"/>
  <c r="A17" i="2"/>
  <c r="O16" i="2"/>
  <c r="G16" i="2"/>
  <c r="F16" i="2"/>
  <c r="E16" i="2"/>
  <c r="D16" i="2"/>
  <c r="C16" i="2"/>
  <c r="B16" i="2"/>
  <c r="A16" i="2"/>
  <c r="J29" i="1"/>
  <c r="G29" i="1"/>
  <c r="E29" i="1"/>
  <c r="D29" i="1"/>
  <c r="C29" i="1"/>
  <c r="B29" i="1"/>
  <c r="A29" i="1"/>
  <c r="J28" i="1"/>
  <c r="G28" i="1"/>
  <c r="E28" i="1"/>
  <c r="D28" i="1"/>
  <c r="C28" i="1"/>
  <c r="H28" i="1" s="1"/>
  <c r="B28" i="1"/>
  <c r="A28" i="1"/>
  <c r="N27" i="1"/>
  <c r="A27" i="1"/>
  <c r="J26" i="1"/>
  <c r="G26" i="1"/>
  <c r="E26" i="1"/>
  <c r="D26" i="1"/>
  <c r="C26" i="1"/>
  <c r="H26" i="1" s="1"/>
  <c r="B26" i="1"/>
  <c r="A26" i="1"/>
  <c r="J25" i="1"/>
  <c r="G25" i="1"/>
  <c r="E25" i="1"/>
  <c r="D25" i="1"/>
  <c r="C25" i="1"/>
  <c r="H25" i="1" s="1"/>
  <c r="B25" i="1"/>
  <c r="A25" i="1"/>
  <c r="J24" i="1"/>
  <c r="G24" i="1"/>
  <c r="E24" i="1"/>
  <c r="D24" i="1"/>
  <c r="C24" i="1"/>
  <c r="B24" i="1"/>
  <c r="A24" i="1"/>
  <c r="N23" i="1"/>
  <c r="A23" i="1"/>
  <c r="O22" i="1"/>
  <c r="J22" i="1"/>
  <c r="G22" i="1"/>
  <c r="E22" i="1"/>
  <c r="D22" i="1"/>
  <c r="C22" i="1"/>
  <c r="H22" i="1" s="1"/>
  <c r="B22" i="1"/>
  <c r="A22" i="1"/>
  <c r="H16" i="2" l="1"/>
  <c r="H24" i="1"/>
  <c r="H29" i="1"/>
  <c r="C38" i="1"/>
  <c r="Q27" i="1"/>
  <c r="R27" i="1" s="1"/>
  <c r="Q23" i="1"/>
  <c r="R23" i="1" s="1"/>
  <c r="C34" i="1"/>
  <c r="K18" i="3"/>
  <c r="L18" i="3"/>
  <c r="I18" i="3"/>
  <c r="C23" i="3"/>
  <c r="Q17" i="3"/>
  <c r="R17" i="3" s="1"/>
  <c r="L16" i="3"/>
  <c r="I16" i="3"/>
  <c r="K16" i="3"/>
  <c r="M16" i="3" s="1"/>
  <c r="N16" i="3" s="1"/>
  <c r="C24" i="2"/>
  <c r="Q18" i="2"/>
  <c r="R18" i="2" s="1"/>
  <c r="Q17" i="2"/>
  <c r="R17" i="2" s="1"/>
  <c r="C23" i="2"/>
  <c r="K16" i="2"/>
  <c r="I28" i="1"/>
  <c r="K28" i="1"/>
  <c r="L28" i="1"/>
  <c r="I26" i="1"/>
  <c r="K26" i="1"/>
  <c r="L26" i="1"/>
  <c r="I25" i="1"/>
  <c r="K25" i="1"/>
  <c r="L25" i="1"/>
  <c r="K22" i="1"/>
  <c r="I22" i="1"/>
  <c r="L22" i="1"/>
  <c r="J16" i="2" l="1"/>
  <c r="I16" i="2"/>
  <c r="L16" i="2"/>
  <c r="M16" i="2" s="1"/>
  <c r="N16" i="2" s="1"/>
  <c r="I24" i="1"/>
  <c r="K24" i="1"/>
  <c r="L24" i="1"/>
  <c r="I29" i="1"/>
  <c r="K29" i="1"/>
  <c r="L29" i="1"/>
  <c r="P16" i="3"/>
  <c r="Q16" i="3"/>
  <c r="R16" i="3" s="1"/>
  <c r="C22" i="3"/>
  <c r="P16" i="2"/>
  <c r="C22" i="2"/>
  <c r="Q16" i="2"/>
  <c r="R16" i="2" s="1"/>
  <c r="C26" i="2" s="1"/>
  <c r="M28" i="1"/>
  <c r="N28" i="1" s="1"/>
  <c r="M26" i="1"/>
  <c r="N26" i="1" s="1"/>
  <c r="M25" i="1"/>
  <c r="N25" i="1" s="1"/>
  <c r="M22" i="1"/>
  <c r="N22" i="1" s="1"/>
  <c r="M18" i="3"/>
  <c r="N18" i="3" s="1"/>
  <c r="M24" i="1" l="1"/>
  <c r="N24" i="1" s="1"/>
  <c r="M29" i="1"/>
  <c r="N29" i="1" s="1"/>
  <c r="O17" i="3"/>
  <c r="P17" i="3" s="1"/>
  <c r="O18" i="2"/>
  <c r="P18" i="2" s="1"/>
  <c r="O17" i="2"/>
  <c r="P17" i="2" s="1"/>
  <c r="C25" i="2" s="1"/>
  <c r="C27" i="2" s="1"/>
  <c r="C39" i="1"/>
  <c r="Q28" i="1"/>
  <c r="R28" i="1" s="1"/>
  <c r="C37" i="1"/>
  <c r="Q26" i="1"/>
  <c r="R26" i="1" s="1"/>
  <c r="C36" i="1"/>
  <c r="Q25" i="1"/>
  <c r="R25" i="1" s="1"/>
  <c r="P22" i="1"/>
  <c r="C33" i="1"/>
  <c r="Q22" i="1"/>
  <c r="R22" i="1" s="1"/>
  <c r="C24" i="3"/>
  <c r="Q18" i="3"/>
  <c r="R18" i="3" s="1"/>
  <c r="C26" i="3" s="1"/>
  <c r="C35" i="1" l="1"/>
  <c r="Q24" i="1"/>
  <c r="R24" i="1" s="1"/>
  <c r="C42" i="1" s="1"/>
  <c r="Q29" i="1"/>
  <c r="R29" i="1" s="1"/>
  <c r="C40" i="1"/>
  <c r="O23" i="1"/>
  <c r="P23" i="1" s="1"/>
  <c r="O18" i="3"/>
  <c r="P18" i="3" s="1"/>
  <c r="C25" i="3" s="1"/>
  <c r="C27" i="3" s="1"/>
  <c r="O24" i="1" l="1"/>
  <c r="P24" i="1" s="1"/>
  <c r="O25" i="1" s="1"/>
  <c r="P25" i="1" s="1"/>
  <c r="O26" i="1" s="1"/>
  <c r="P26" i="1" s="1"/>
  <c r="O27" i="1" s="1"/>
  <c r="P27" i="1" s="1"/>
  <c r="O29" i="1" l="1"/>
  <c r="P29" i="1" s="1"/>
  <c r="O28" i="1"/>
  <c r="P28" i="1" s="1"/>
  <c r="C41" i="1" s="1"/>
  <c r="C43" i="1" s="1"/>
</calcChain>
</file>

<file path=xl/sharedStrings.xml><?xml version="1.0" encoding="utf-8"?>
<sst xmlns="http://schemas.openxmlformats.org/spreadsheetml/2006/main" count="310" uniqueCount="111">
  <si>
    <t>Station</t>
  </si>
  <si>
    <t>st-pick-place</t>
  </si>
  <si>
    <t>Target cycle time (s)</t>
  </si>
  <si>
    <t>requirement chosen for this test, not catalog data</t>
  </si>
  <si>
    <t>Mechanisms</t>
  </si>
  <si>
    <t>id</t>
  </si>
  <si>
    <t>kind</t>
  </si>
  <si>
    <t>profile</t>
  </si>
  <si>
    <t>stroke</t>
  </si>
  <si>
    <t>stroke source</t>
  </si>
  <si>
    <t>max_speed</t>
  </si>
  <si>
    <t>max_speed source</t>
  </si>
  <si>
    <t>acceleration</t>
  </si>
  <si>
    <t>acceleration source</t>
  </si>
  <si>
    <t>jerk</t>
  </si>
  <si>
    <t>jerk source</t>
  </si>
  <si>
    <t>dwell_s</t>
  </si>
  <si>
    <t>dwell_s source</t>
  </si>
  <si>
    <t>unit</t>
  </si>
  <si>
    <t>pp-x</t>
  </si>
  <si>
    <t>linear</t>
  </si>
  <si>
    <t>trapezoidal</t>
  </si>
  <si>
    <t>S02</t>
  </si>
  <si>
    <t>mm</t>
  </si>
  <si>
    <t>pp-z</t>
  </si>
  <si>
    <t>S03</t>
  </si>
  <si>
    <t>Steps</t>
  </si>
  <si>
    <t>order</t>
  </si>
  <si>
    <t>mechanism_id</t>
  </si>
  <si>
    <t>duration_s</t>
  </si>
  <si>
    <t>duration_s source</t>
  </si>
  <si>
    <t>parallel_group</t>
  </si>
  <si>
    <t>pp-z-down-pick</t>
  </si>
  <si>
    <t>motion</t>
  </si>
  <si>
    <t>pp-grip-close</t>
  </si>
  <si>
    <t>fixed_duration</t>
  </si>
  <si>
    <t>S04</t>
  </si>
  <si>
    <t>pp-z-up-pick</t>
  </si>
  <si>
    <t>pp-x-to-place</t>
  </si>
  <si>
    <t>pp-z-down-place</t>
  </si>
  <si>
    <t>pp-grip-open</t>
  </si>
  <si>
    <t>pp-x-to-pick</t>
  </si>
  <si>
    <t>pp-z-up-place</t>
  </si>
  <si>
    <t>Calculation</t>
  </si>
  <si>
    <t>step</t>
  </si>
  <si>
    <t>source</t>
  </si>
  <si>
    <t>distance</t>
  </si>
  <si>
    <t>Tv if max speed reached</t>
  </si>
  <si>
    <t>case</t>
  </si>
  <si>
    <t>Tj</t>
  </si>
  <si>
    <t>Ta</t>
  </si>
  <si>
    <t>Tv</t>
  </si>
  <si>
    <t>move_s</t>
  </si>
  <si>
    <t>start_s</t>
  </si>
  <si>
    <t>end_s</t>
  </si>
  <si>
    <t>critical</t>
  </si>
  <si>
    <t>critical duration_s</t>
  </si>
  <si>
    <t>fixed</t>
  </si>
  <si>
    <t>fixed duration</t>
  </si>
  <si>
    <t>Expected</t>
  </si>
  <si>
    <t>quantity</t>
  </si>
  <si>
    <t>value</t>
  </si>
  <si>
    <t>cycle_time_s</t>
  </si>
  <si>
    <t>limiting_step</t>
  </si>
  <si>
    <t>margin_s</t>
  </si>
  <si>
    <t>st-indexing-table</t>
  </si>
  <si>
    <t>it-table</t>
  </si>
  <si>
    <t>rotary</t>
  </si>
  <si>
    <t>s_curve</t>
  </si>
  <si>
    <t>B1</t>
  </si>
  <si>
    <t>deg</t>
  </si>
  <si>
    <t>it-index</t>
  </si>
  <si>
    <t>it-grip-small</t>
  </si>
  <si>
    <t>it-grip-large</t>
  </si>
  <si>
    <t>st-sealing</t>
  </si>
  <si>
    <t>seal-lift</t>
  </si>
  <si>
    <t>S06</t>
  </si>
  <si>
    <t>seal-lift-down</t>
  </si>
  <si>
    <t>seal-dwell</t>
  </si>
  <si>
    <t>S07</t>
  </si>
  <si>
    <t>seal-lift-up</t>
  </si>
  <si>
    <t>title</t>
  </si>
  <si>
    <t>url_or_isbn</t>
  </si>
  <si>
    <t>page</t>
  </si>
  <si>
    <t>as_printed</t>
  </si>
  <si>
    <t>accessed</t>
  </si>
  <si>
    <t>L. Biagiotti, C. Melchiorri, Trajectory Planning for Automatic Machines and Robots, Springer, 2008</t>
  </si>
  <si>
    <t>ISBN 978-3-540-85628-3</t>
  </si>
  <si>
    <t>90-93 (double S, null initial and final speed); 93 (example of Fig. 3.19)</t>
  </si>
  <si>
    <t>q0 = 0, q1 = 10, v0 = 0, v1 = 0, ... vmax = 10, amax = 20, jmax = 30. The resulting time intervals are Tj = 0.5503, Ta = 1.1006, Tv = 0</t>
  </si>
  <si>
    <t>2026-10-29</t>
  </si>
  <si>
    <t>Festo, Toothed belt axis EGC-70-400-TB-KF-0H-GK, part number 3012493, data sheet</t>
  </si>
  <si>
    <t>https://ftp.festo.com/public/PNEUMATIC/SOFTWARE_SERVICE/DataSheet/EN_GB/3012493.pdf</t>
  </si>
  <si>
    <t>1</t>
  </si>
  <si>
    <t>Working stroke 400 mm; Max. speed 5 m/s; Max. acceleration 50 m/s²</t>
  </si>
  <si>
    <t>Festo, Mini slide EGSL, catalog 2025/02, Datasheet, General technical data</t>
  </si>
  <si>
    <t>https://ftp.festo.com/public/PNEUMATIC/SOFTWARE_SERVICE/Documentation/2026/EN/EGSL_EN.PDF</t>
  </si>
  <si>
    <t>4</t>
  </si>
  <si>
    <t>size 45: Working stroke 100 mm, 200 mm; size 45, pitch 10 mm/U: Max. speed 1 m/s; Max. acceleration 25 m/s²</t>
  </si>
  <si>
    <t>Festo, Parallel gripper DHPS, catalog 2026/08, Opening and closing times</t>
  </si>
  <si>
    <t>https://ftp.festo.com/public/PNEUMATIC/SOFTWARE_SERVICE/Documentation/2026/EN/DHPS_EN.PDF</t>
  </si>
  <si>
    <t>15</t>
  </si>
  <si>
    <t>DHPS-16, backup none: Min. closing time at 0.6 MPa (6 bar, 87 psi) 41 ms, Min. opening time at 0.6 MPa (6 bar, 87 psi) 33 ms; DHPS-20, backup none: closing 87 ms</t>
  </si>
  <si>
    <t>Festo, Electric cylinders EPCO, with spindle drive, catalog 2022/07</t>
  </si>
  <si>
    <t>https://ftp.festo.com/public/PNEUMATIC/SOFTWARE_SERVICE/Documentation/2023/EN/EPCO_EN.PDF</t>
  </si>
  <si>
    <t>9, 26</t>
  </si>
  <si>
    <t>size 40, pitch 12.7: Max. speed [mm/s] 460; Max. acceleration [m/s2] 10; ordering table Stroke [mm] 50 75 100</t>
  </si>
  <si>
    <t>BASF, Joncryl HSL 9012, technical data sheet, Mar22</t>
  </si>
  <si>
    <t>https://download.basf.com/p1/8a8083fb9ebb3333019ebd2e6a57008d/en/Joncryl_HSL_9012</t>
  </si>
  <si>
    <t>3 of 4</t>
  </si>
  <si>
    <t>Recommended seal conditions: temperature : 160 – 220 °C, pressure : &gt;30 N/cm², time : 0.5 – 1.0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</si>
</sst>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/>
  </sheetViews>
  <sheetFormatPr baseColWidth="10" defaultColWidth="8.83203125" defaultRowHeight="15" x14ac:dyDescent="0.2"/>
  <cols>
    <col min="1" max="1" width="22" customWidth="1"/>
    <col min="9" max="9" width="36" customWidth="1"/>
  </cols>
  <sheetData>
    <row r="1" spans="1:14" x14ac:dyDescent="0.2">
      <c r="A1" s="1" t="s">
        <v>0</v>
      </c>
      <c r="B1" t="s">
        <v>1</v>
      </c>
    </row>
    <row r="2" spans="1:14" x14ac:dyDescent="0.2">
      <c r="A2" s="1" t="s">
        <v>2</v>
      </c>
      <c r="B2">
        <v>1</v>
      </c>
      <c r="C2" t="s">
        <v>3</v>
      </c>
    </row>
    <row r="4" spans="1:14" x14ac:dyDescent="0.2">
      <c r="A4" s="1" t="s">
        <v>4</v>
      </c>
    </row>
    <row r="5" spans="1:14" x14ac:dyDescent="0.2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</row>
    <row r="6" spans="1:14" x14ac:dyDescent="0.2">
      <c r="A6" t="s">
        <v>19</v>
      </c>
      <c r="B6" t="s">
        <v>20</v>
      </c>
      <c r="C6" t="s">
        <v>21</v>
      </c>
      <c r="D6">
        <v>400</v>
      </c>
      <c r="E6" t="s">
        <v>22</v>
      </c>
      <c r="F6">
        <v>5000</v>
      </c>
      <c r="G6" t="s">
        <v>22</v>
      </c>
      <c r="H6">
        <v>50000</v>
      </c>
      <c r="I6" t="s">
        <v>22</v>
      </c>
      <c r="N6" t="s">
        <v>23</v>
      </c>
    </row>
    <row r="7" spans="1:14" x14ac:dyDescent="0.2">
      <c r="A7" t="s">
        <v>24</v>
      </c>
      <c r="B7" t="s">
        <v>20</v>
      </c>
      <c r="C7" t="s">
        <v>21</v>
      </c>
      <c r="D7">
        <v>100</v>
      </c>
      <c r="E7" t="s">
        <v>25</v>
      </c>
      <c r="F7">
        <v>1000</v>
      </c>
      <c r="G7" t="s">
        <v>25</v>
      </c>
      <c r="H7">
        <v>25000</v>
      </c>
      <c r="I7" t="s">
        <v>25</v>
      </c>
      <c r="N7" t="s">
        <v>23</v>
      </c>
    </row>
    <row r="9" spans="1:14" x14ac:dyDescent="0.2">
      <c r="A9" s="1" t="s">
        <v>26</v>
      </c>
    </row>
    <row r="10" spans="1:14" x14ac:dyDescent="0.2">
      <c r="A10" s="1" t="s">
        <v>5</v>
      </c>
      <c r="B10" s="1" t="s">
        <v>27</v>
      </c>
      <c r="C10" s="1" t="s">
        <v>6</v>
      </c>
      <c r="D10" s="1" t="s">
        <v>28</v>
      </c>
      <c r="E10" s="1" t="s">
        <v>29</v>
      </c>
      <c r="F10" s="1" t="s">
        <v>30</v>
      </c>
      <c r="G10" s="1" t="s">
        <v>31</v>
      </c>
    </row>
    <row r="11" spans="1:14" x14ac:dyDescent="0.2">
      <c r="A11" t="s">
        <v>32</v>
      </c>
      <c r="B11">
        <v>1</v>
      </c>
      <c r="C11" t="s">
        <v>33</v>
      </c>
      <c r="D11" t="s">
        <v>24</v>
      </c>
    </row>
    <row r="12" spans="1:14" x14ac:dyDescent="0.2">
      <c r="A12" t="s">
        <v>34</v>
      </c>
      <c r="B12">
        <v>2</v>
      </c>
      <c r="C12" t="s">
        <v>35</v>
      </c>
      <c r="E12">
        <v>4.1000000000000002E-2</v>
      </c>
      <c r="F12" t="s">
        <v>36</v>
      </c>
    </row>
    <row r="13" spans="1:14" x14ac:dyDescent="0.2">
      <c r="A13" t="s">
        <v>37</v>
      </c>
      <c r="B13">
        <v>3</v>
      </c>
      <c r="C13" t="s">
        <v>33</v>
      </c>
      <c r="D13" t="s">
        <v>24</v>
      </c>
    </row>
    <row r="14" spans="1:14" x14ac:dyDescent="0.2">
      <c r="A14" t="s">
        <v>38</v>
      </c>
      <c r="B14">
        <v>4</v>
      </c>
      <c r="C14" t="s">
        <v>33</v>
      </c>
      <c r="D14" t="s">
        <v>19</v>
      </c>
    </row>
    <row r="15" spans="1:14" x14ac:dyDescent="0.2">
      <c r="A15" t="s">
        <v>39</v>
      </c>
      <c r="B15">
        <v>5</v>
      </c>
      <c r="C15" t="s">
        <v>33</v>
      </c>
      <c r="D15" t="s">
        <v>24</v>
      </c>
    </row>
    <row r="16" spans="1:14" x14ac:dyDescent="0.2">
      <c r="A16" t="s">
        <v>40</v>
      </c>
      <c r="B16">
        <v>6</v>
      </c>
      <c r="C16" t="s">
        <v>35</v>
      </c>
      <c r="E16">
        <v>3.3000000000000002E-2</v>
      </c>
      <c r="F16" t="s">
        <v>36</v>
      </c>
    </row>
    <row r="17" spans="1:18" x14ac:dyDescent="0.2">
      <c r="A17" t="s">
        <v>41</v>
      </c>
      <c r="B17">
        <v>7</v>
      </c>
      <c r="C17" t="s">
        <v>33</v>
      </c>
      <c r="D17" t="s">
        <v>19</v>
      </c>
      <c r="G17">
        <v>1</v>
      </c>
    </row>
    <row r="18" spans="1:18" x14ac:dyDescent="0.2">
      <c r="A18" t="s">
        <v>42</v>
      </c>
      <c r="B18">
        <v>8</v>
      </c>
      <c r="C18" t="s">
        <v>33</v>
      </c>
      <c r="D18" t="s">
        <v>24</v>
      </c>
      <c r="G18">
        <v>1</v>
      </c>
    </row>
    <row r="20" spans="1:18" x14ac:dyDescent="0.2">
      <c r="A20" s="1" t="s">
        <v>43</v>
      </c>
    </row>
    <row r="21" spans="1:18" x14ac:dyDescent="0.2">
      <c r="A21" s="1" t="s">
        <v>44</v>
      </c>
      <c r="B21" s="1" t="s">
        <v>45</v>
      </c>
      <c r="C21" s="1" t="s">
        <v>46</v>
      </c>
      <c r="D21" s="1" t="s">
        <v>10</v>
      </c>
      <c r="E21" s="1" t="s">
        <v>12</v>
      </c>
      <c r="F21" s="1" t="s">
        <v>14</v>
      </c>
      <c r="G21" s="1" t="s">
        <v>16</v>
      </c>
      <c r="H21" s="1" t="s">
        <v>47</v>
      </c>
      <c r="I21" s="1" t="s">
        <v>48</v>
      </c>
      <c r="J21" s="1" t="s">
        <v>49</v>
      </c>
      <c r="K21" s="1" t="s">
        <v>50</v>
      </c>
      <c r="L21" s="1" t="s">
        <v>51</v>
      </c>
      <c r="M21" s="1" t="s">
        <v>52</v>
      </c>
      <c r="N21" s="1" t="s">
        <v>29</v>
      </c>
      <c r="O21" s="1" t="s">
        <v>53</v>
      </c>
      <c r="P21" s="1" t="s">
        <v>54</v>
      </c>
      <c r="Q21" s="1" t="s">
        <v>55</v>
      </c>
      <c r="R21" s="1" t="s">
        <v>56</v>
      </c>
    </row>
    <row r="22" spans="1:18" x14ac:dyDescent="0.2">
      <c r="A22" t="str">
        <f t="shared" ref="A22:A29" si="0">A11</f>
        <v>pp-z-down-pick</v>
      </c>
      <c r="B22" t="str">
        <f>C7</f>
        <v>trapezoidal</v>
      </c>
      <c r="C22">
        <f>D7</f>
        <v>100</v>
      </c>
      <c r="D22">
        <f>F7</f>
        <v>1000</v>
      </c>
      <c r="E22">
        <f>H7</f>
        <v>25000</v>
      </c>
      <c r="G22">
        <f>L7</f>
        <v>0</v>
      </c>
      <c r="H22">
        <f>C22/D22-D22/E22</f>
        <v>6.0000000000000005E-2</v>
      </c>
      <c r="I22" t="str">
        <f>IF(H22&gt;=0,"trapezoidal: max speed reached","triangular: max speed not reached")</f>
        <v>trapezoidal: max speed reached</v>
      </c>
      <c r="J22">
        <f>0</f>
        <v>0</v>
      </c>
      <c r="K22">
        <f>IF(H22&gt;=0,D22/E22,SQRT(C22/E22))</f>
        <v>0.04</v>
      </c>
      <c r="L22">
        <f>IF(H22&gt;=0,H22,0)</f>
        <v>6.0000000000000005E-2</v>
      </c>
      <c r="M22">
        <f>2*K22+L22</f>
        <v>0.14000000000000001</v>
      </c>
      <c r="N22">
        <f>M22+G22</f>
        <v>0.14000000000000001</v>
      </c>
      <c r="O22">
        <f>0</f>
        <v>0</v>
      </c>
      <c r="P22">
        <f t="shared" ref="P22:P29" si="1">O22+N22</f>
        <v>0.14000000000000001</v>
      </c>
      <c r="Q22" t="b">
        <f t="shared" ref="Q22:Q27" si="2">N22=MAX(N22:N22)</f>
        <v>1</v>
      </c>
      <c r="R22">
        <f t="shared" ref="R22:R29" si="3">IF(Q22,N22,-1)</f>
        <v>0.14000000000000001</v>
      </c>
    </row>
    <row r="23" spans="1:18" x14ac:dyDescent="0.2">
      <c r="A23" t="str">
        <f t="shared" si="0"/>
        <v>pp-grip-close</v>
      </c>
      <c r="B23" t="s">
        <v>57</v>
      </c>
      <c r="I23" t="s">
        <v>58</v>
      </c>
      <c r="N23">
        <f>E12</f>
        <v>4.1000000000000002E-2</v>
      </c>
      <c r="O23">
        <f t="shared" ref="O23:O28" si="4">MAX(P22:P22)</f>
        <v>0.14000000000000001</v>
      </c>
      <c r="P23">
        <f t="shared" si="1"/>
        <v>0.18100000000000002</v>
      </c>
      <c r="Q23" t="b">
        <f t="shared" si="2"/>
        <v>1</v>
      </c>
      <c r="R23">
        <f t="shared" si="3"/>
        <v>4.1000000000000002E-2</v>
      </c>
    </row>
    <row r="24" spans="1:18" x14ac:dyDescent="0.2">
      <c r="A24" t="str">
        <f t="shared" si="0"/>
        <v>pp-z-up-pick</v>
      </c>
      <c r="B24" t="str">
        <f>C7</f>
        <v>trapezoidal</v>
      </c>
      <c r="C24">
        <f>D7</f>
        <v>100</v>
      </c>
      <c r="D24">
        <f>F7</f>
        <v>1000</v>
      </c>
      <c r="E24">
        <f>H7</f>
        <v>25000</v>
      </c>
      <c r="G24">
        <f>L7</f>
        <v>0</v>
      </c>
      <c r="H24">
        <f>C24/D24-D24/E24</f>
        <v>6.0000000000000005E-2</v>
      </c>
      <c r="I24" t="str">
        <f>IF(H24&gt;=0,"trapezoidal: max speed reached","triangular: max speed not reached")</f>
        <v>trapezoidal: max speed reached</v>
      </c>
      <c r="J24">
        <f>0</f>
        <v>0</v>
      </c>
      <c r="K24">
        <f>IF(H24&gt;=0,D24/E24,SQRT(C24/E24))</f>
        <v>0.04</v>
      </c>
      <c r="L24">
        <f>IF(H24&gt;=0,H24,0)</f>
        <v>6.0000000000000005E-2</v>
      </c>
      <c r="M24">
        <f>2*K24+L24</f>
        <v>0.14000000000000001</v>
      </c>
      <c r="N24">
        <f>M24+G24</f>
        <v>0.14000000000000001</v>
      </c>
      <c r="O24">
        <f t="shared" si="4"/>
        <v>0.18100000000000002</v>
      </c>
      <c r="P24">
        <f t="shared" si="1"/>
        <v>0.32100000000000006</v>
      </c>
      <c r="Q24" t="b">
        <f t="shared" si="2"/>
        <v>1</v>
      </c>
      <c r="R24">
        <f t="shared" si="3"/>
        <v>0.14000000000000001</v>
      </c>
    </row>
    <row r="25" spans="1:18" x14ac:dyDescent="0.2">
      <c r="A25" t="str">
        <f t="shared" si="0"/>
        <v>pp-x-to-place</v>
      </c>
      <c r="B25" t="str">
        <f>C6</f>
        <v>trapezoidal</v>
      </c>
      <c r="C25">
        <f>D6</f>
        <v>400</v>
      </c>
      <c r="D25">
        <f>F6</f>
        <v>5000</v>
      </c>
      <c r="E25">
        <f>H6</f>
        <v>50000</v>
      </c>
      <c r="G25">
        <f>L6</f>
        <v>0</v>
      </c>
      <c r="H25">
        <f>C25/D25-D25/E25</f>
        <v>-2.0000000000000004E-2</v>
      </c>
      <c r="I25" t="str">
        <f>IF(H25&gt;=0,"trapezoidal: max speed reached","triangular: max speed not reached")</f>
        <v>triangular: max speed not reached</v>
      </c>
      <c r="J25">
        <f>0</f>
        <v>0</v>
      </c>
      <c r="K25">
        <f>IF(H25&gt;=0,D25/E25,SQRT(C25/E25))</f>
        <v>8.9442719099991588E-2</v>
      </c>
      <c r="L25">
        <f>IF(H25&gt;=0,H25,0)</f>
        <v>0</v>
      </c>
      <c r="M25">
        <f>2*K25+L25</f>
        <v>0.17888543819998318</v>
      </c>
      <c r="N25">
        <f>M25+G25</f>
        <v>0.17888543819998318</v>
      </c>
      <c r="O25">
        <f t="shared" si="4"/>
        <v>0.32100000000000006</v>
      </c>
      <c r="P25">
        <f t="shared" si="1"/>
        <v>0.49988543819998321</v>
      </c>
      <c r="Q25" t="b">
        <f t="shared" si="2"/>
        <v>1</v>
      </c>
      <c r="R25">
        <f t="shared" si="3"/>
        <v>0.17888543819998318</v>
      </c>
    </row>
    <row r="26" spans="1:18" x14ac:dyDescent="0.2">
      <c r="A26" t="str">
        <f t="shared" si="0"/>
        <v>pp-z-down-place</v>
      </c>
      <c r="B26" t="str">
        <f>C7</f>
        <v>trapezoidal</v>
      </c>
      <c r="C26">
        <f>D7</f>
        <v>100</v>
      </c>
      <c r="D26">
        <f>F7</f>
        <v>1000</v>
      </c>
      <c r="E26">
        <f>H7</f>
        <v>25000</v>
      </c>
      <c r="G26">
        <f>L7</f>
        <v>0</v>
      </c>
      <c r="H26">
        <f>C26/D26-D26/E26</f>
        <v>6.0000000000000005E-2</v>
      </c>
      <c r="I26" t="str">
        <f>IF(H26&gt;=0,"trapezoidal: max speed reached","triangular: max speed not reached")</f>
        <v>trapezoidal: max speed reached</v>
      </c>
      <c r="J26">
        <f>0</f>
        <v>0</v>
      </c>
      <c r="K26">
        <f>IF(H26&gt;=0,D26/E26,SQRT(C26/E26))</f>
        <v>0.04</v>
      </c>
      <c r="L26">
        <f>IF(H26&gt;=0,H26,0)</f>
        <v>6.0000000000000005E-2</v>
      </c>
      <c r="M26">
        <f>2*K26+L26</f>
        <v>0.14000000000000001</v>
      </c>
      <c r="N26">
        <f>M26+G26</f>
        <v>0.14000000000000001</v>
      </c>
      <c r="O26">
        <f t="shared" si="4"/>
        <v>0.49988543819998321</v>
      </c>
      <c r="P26">
        <f t="shared" si="1"/>
        <v>0.63988543819998323</v>
      </c>
      <c r="Q26" t="b">
        <f t="shared" si="2"/>
        <v>1</v>
      </c>
      <c r="R26">
        <f t="shared" si="3"/>
        <v>0.14000000000000001</v>
      </c>
    </row>
    <row r="27" spans="1:18" x14ac:dyDescent="0.2">
      <c r="A27" t="str">
        <f t="shared" si="0"/>
        <v>pp-grip-open</v>
      </c>
      <c r="B27" t="s">
        <v>57</v>
      </c>
      <c r="I27" t="s">
        <v>58</v>
      </c>
      <c r="N27">
        <f>E16</f>
        <v>3.3000000000000002E-2</v>
      </c>
      <c r="O27">
        <f t="shared" si="4"/>
        <v>0.63988543819998323</v>
      </c>
      <c r="P27">
        <f t="shared" si="1"/>
        <v>0.67288543819998325</v>
      </c>
      <c r="Q27" t="b">
        <f t="shared" si="2"/>
        <v>1</v>
      </c>
      <c r="R27">
        <f t="shared" si="3"/>
        <v>3.3000000000000002E-2</v>
      </c>
    </row>
    <row r="28" spans="1:18" x14ac:dyDescent="0.2">
      <c r="A28" t="str">
        <f t="shared" si="0"/>
        <v>pp-x-to-pick</v>
      </c>
      <c r="B28" t="str">
        <f>C6</f>
        <v>trapezoidal</v>
      </c>
      <c r="C28">
        <f>D6</f>
        <v>400</v>
      </c>
      <c r="D28">
        <f>F6</f>
        <v>5000</v>
      </c>
      <c r="E28">
        <f>H6</f>
        <v>50000</v>
      </c>
      <c r="G28">
        <f>L6</f>
        <v>0</v>
      </c>
      <c r="H28">
        <f>C28/D28-D28/E28</f>
        <v>-2.0000000000000004E-2</v>
      </c>
      <c r="I28" t="str">
        <f>IF(H28&gt;=0,"trapezoidal: max speed reached","triangular: max speed not reached")</f>
        <v>triangular: max speed not reached</v>
      </c>
      <c r="J28">
        <f>0</f>
        <v>0</v>
      </c>
      <c r="K28">
        <f>IF(H28&gt;=0,D28/E28,SQRT(C28/E28))</f>
        <v>8.9442719099991588E-2</v>
      </c>
      <c r="L28">
        <f>IF(H28&gt;=0,H28,0)</f>
        <v>0</v>
      </c>
      <c r="M28">
        <f>2*K28+L28</f>
        <v>0.17888543819998318</v>
      </c>
      <c r="N28">
        <f>M28+G28</f>
        <v>0.17888543819998318</v>
      </c>
      <c r="O28">
        <f t="shared" si="4"/>
        <v>0.67288543819998325</v>
      </c>
      <c r="P28">
        <f t="shared" si="1"/>
        <v>0.8517708763999664</v>
      </c>
      <c r="Q28" t="b">
        <f>N28=MAX(N28:N29)</f>
        <v>1</v>
      </c>
      <c r="R28">
        <f t="shared" si="3"/>
        <v>0.17888543819998318</v>
      </c>
    </row>
    <row r="29" spans="1:18" x14ac:dyDescent="0.2">
      <c r="A29" t="str">
        <f t="shared" si="0"/>
        <v>pp-z-up-place</v>
      </c>
      <c r="B29" t="str">
        <f>C7</f>
        <v>trapezoidal</v>
      </c>
      <c r="C29">
        <f>D7</f>
        <v>100</v>
      </c>
      <c r="D29">
        <f>F7</f>
        <v>1000</v>
      </c>
      <c r="E29">
        <f>H7</f>
        <v>25000</v>
      </c>
      <c r="G29">
        <f>L7</f>
        <v>0</v>
      </c>
      <c r="H29">
        <f>C29/D29-D29/E29</f>
        <v>6.0000000000000005E-2</v>
      </c>
      <c r="I29" t="str">
        <f>IF(H29&gt;=0,"trapezoidal: max speed reached","triangular: max speed not reached")</f>
        <v>trapezoidal: max speed reached</v>
      </c>
      <c r="J29">
        <f>0</f>
        <v>0</v>
      </c>
      <c r="K29">
        <f>IF(H29&gt;=0,D29/E29,SQRT(C29/E29))</f>
        <v>0.04</v>
      </c>
      <c r="L29">
        <f>IF(H29&gt;=0,H29,0)</f>
        <v>6.0000000000000005E-2</v>
      </c>
      <c r="M29">
        <f>2*K29+L29</f>
        <v>0.14000000000000001</v>
      </c>
      <c r="N29">
        <f>M29+G29</f>
        <v>0.14000000000000001</v>
      </c>
      <c r="O29">
        <f>MAX(P27:P27)</f>
        <v>0.67288543819998325</v>
      </c>
      <c r="P29">
        <f t="shared" si="1"/>
        <v>0.81288543819998327</v>
      </c>
      <c r="Q29" t="b">
        <f>AND(N29=MAX(N28:N29),COUNTIF(N28:N28,MAX(N28:N29))=0)</f>
        <v>0</v>
      </c>
      <c r="R29">
        <f t="shared" si="3"/>
        <v>-1</v>
      </c>
    </row>
    <row r="31" spans="1:18" x14ac:dyDescent="0.2">
      <c r="A31" s="1" t="s">
        <v>59</v>
      </c>
    </row>
    <row r="32" spans="1:18" x14ac:dyDescent="0.2">
      <c r="A32" s="1" t="s">
        <v>60</v>
      </c>
      <c r="B32" s="1" t="s">
        <v>44</v>
      </c>
      <c r="C32" s="1" t="s">
        <v>61</v>
      </c>
    </row>
    <row r="33" spans="1:3" x14ac:dyDescent="0.2">
      <c r="A33" t="s">
        <v>29</v>
      </c>
      <c r="B33" t="s">
        <v>32</v>
      </c>
      <c r="C33">
        <f t="shared" ref="C33:C40" si="5">N22</f>
        <v>0.14000000000000001</v>
      </c>
    </row>
    <row r="34" spans="1:3" x14ac:dyDescent="0.2">
      <c r="A34" t="s">
        <v>29</v>
      </c>
      <c r="B34" t="s">
        <v>34</v>
      </c>
      <c r="C34">
        <f t="shared" si="5"/>
        <v>4.1000000000000002E-2</v>
      </c>
    </row>
    <row r="35" spans="1:3" x14ac:dyDescent="0.2">
      <c r="A35" t="s">
        <v>29</v>
      </c>
      <c r="B35" t="s">
        <v>37</v>
      </c>
      <c r="C35">
        <f t="shared" si="5"/>
        <v>0.14000000000000001</v>
      </c>
    </row>
    <row r="36" spans="1:3" x14ac:dyDescent="0.2">
      <c r="A36" t="s">
        <v>29</v>
      </c>
      <c r="B36" t="s">
        <v>38</v>
      </c>
      <c r="C36">
        <f t="shared" si="5"/>
        <v>0.17888543819998318</v>
      </c>
    </row>
    <row r="37" spans="1:3" x14ac:dyDescent="0.2">
      <c r="A37" t="s">
        <v>29</v>
      </c>
      <c r="B37" t="s">
        <v>39</v>
      </c>
      <c r="C37">
        <f t="shared" si="5"/>
        <v>0.14000000000000001</v>
      </c>
    </row>
    <row r="38" spans="1:3" x14ac:dyDescent="0.2">
      <c r="A38" t="s">
        <v>29</v>
      </c>
      <c r="B38" t="s">
        <v>40</v>
      </c>
      <c r="C38">
        <f t="shared" si="5"/>
        <v>3.3000000000000002E-2</v>
      </c>
    </row>
    <row r="39" spans="1:3" x14ac:dyDescent="0.2">
      <c r="A39" t="s">
        <v>29</v>
      </c>
      <c r="B39" t="s">
        <v>41</v>
      </c>
      <c r="C39">
        <f t="shared" si="5"/>
        <v>0.17888543819998318</v>
      </c>
    </row>
    <row r="40" spans="1:3" x14ac:dyDescent="0.2">
      <c r="A40" t="s">
        <v>29</v>
      </c>
      <c r="B40" t="s">
        <v>42</v>
      </c>
      <c r="C40">
        <f t="shared" si="5"/>
        <v>0.14000000000000001</v>
      </c>
    </row>
    <row r="41" spans="1:3" x14ac:dyDescent="0.2">
      <c r="A41" t="s">
        <v>62</v>
      </c>
      <c r="C41">
        <f>MAX(P22:P29)</f>
        <v>0.8517708763999664</v>
      </c>
    </row>
    <row r="42" spans="1:3" x14ac:dyDescent="0.2">
      <c r="A42" t="s">
        <v>63</v>
      </c>
      <c r="C42" t="str">
        <f>INDEX(A22:A29,MATCH(MAX(R22:R29),R22:R29,0))</f>
        <v>pp-x-to-place</v>
      </c>
    </row>
    <row r="43" spans="1:3" x14ac:dyDescent="0.2">
      <c r="A43" t="s">
        <v>64</v>
      </c>
      <c r="C43">
        <f>B2-C41</f>
        <v>0.1482291236000336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workbookViewId="0"/>
  </sheetViews>
  <sheetFormatPr baseColWidth="10" defaultColWidth="8.83203125" defaultRowHeight="15" x14ac:dyDescent="0.2"/>
  <cols>
    <col min="1" max="1" width="22" customWidth="1"/>
    <col min="9" max="9" width="36" customWidth="1"/>
  </cols>
  <sheetData>
    <row r="1" spans="1:18" x14ac:dyDescent="0.2">
      <c r="A1" s="1" t="s">
        <v>0</v>
      </c>
      <c r="B1" t="s">
        <v>65</v>
      </c>
    </row>
    <row r="2" spans="1:18" x14ac:dyDescent="0.2">
      <c r="A2" s="1" t="s">
        <v>2</v>
      </c>
      <c r="B2">
        <v>2</v>
      </c>
      <c r="C2" t="s">
        <v>3</v>
      </c>
    </row>
    <row r="4" spans="1:18" x14ac:dyDescent="0.2">
      <c r="A4" s="1" t="s">
        <v>4</v>
      </c>
    </row>
    <row r="5" spans="1:18" x14ac:dyDescent="0.2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</row>
    <row r="6" spans="1:18" x14ac:dyDescent="0.2">
      <c r="A6" t="s">
        <v>66</v>
      </c>
      <c r="B6" t="s">
        <v>67</v>
      </c>
      <c r="C6" t="s">
        <v>68</v>
      </c>
      <c r="D6">
        <v>10</v>
      </c>
      <c r="E6" t="s">
        <v>69</v>
      </c>
      <c r="F6">
        <v>10</v>
      </c>
      <c r="G6" t="s">
        <v>69</v>
      </c>
      <c r="H6">
        <v>20</v>
      </c>
      <c r="I6" t="s">
        <v>69</v>
      </c>
      <c r="J6">
        <v>30</v>
      </c>
      <c r="K6" t="s">
        <v>69</v>
      </c>
      <c r="N6" t="s">
        <v>70</v>
      </c>
    </row>
    <row r="8" spans="1:18" x14ac:dyDescent="0.2">
      <c r="A8" s="1" t="s">
        <v>26</v>
      </c>
    </row>
    <row r="9" spans="1:18" x14ac:dyDescent="0.2">
      <c r="A9" s="1" t="s">
        <v>5</v>
      </c>
      <c r="B9" s="1" t="s">
        <v>27</v>
      </c>
      <c r="C9" s="1" t="s">
        <v>6</v>
      </c>
      <c r="D9" s="1" t="s">
        <v>28</v>
      </c>
      <c r="E9" s="1" t="s">
        <v>29</v>
      </c>
      <c r="F9" s="1" t="s">
        <v>30</v>
      </c>
      <c r="G9" s="1" t="s">
        <v>31</v>
      </c>
    </row>
    <row r="10" spans="1:18" x14ac:dyDescent="0.2">
      <c r="A10" t="s">
        <v>71</v>
      </c>
      <c r="B10">
        <v>1</v>
      </c>
      <c r="C10" t="s">
        <v>33</v>
      </c>
      <c r="D10" t="s">
        <v>66</v>
      </c>
    </row>
    <row r="11" spans="1:18" x14ac:dyDescent="0.2">
      <c r="A11" t="s">
        <v>72</v>
      </c>
      <c r="B11">
        <v>2</v>
      </c>
      <c r="C11" t="s">
        <v>35</v>
      </c>
      <c r="E11">
        <v>4.1000000000000002E-2</v>
      </c>
      <c r="F11" t="s">
        <v>36</v>
      </c>
      <c r="G11">
        <v>1</v>
      </c>
    </row>
    <row r="12" spans="1:18" x14ac:dyDescent="0.2">
      <c r="A12" t="s">
        <v>73</v>
      </c>
      <c r="B12">
        <v>3</v>
      </c>
      <c r="C12" t="s">
        <v>35</v>
      </c>
      <c r="E12">
        <v>8.6999999999999994E-2</v>
      </c>
      <c r="F12" t="s">
        <v>36</v>
      </c>
      <c r="G12">
        <v>1</v>
      </c>
    </row>
    <row r="14" spans="1:18" x14ac:dyDescent="0.2">
      <c r="A14" s="1" t="s">
        <v>43</v>
      </c>
    </row>
    <row r="15" spans="1:18" x14ac:dyDescent="0.2">
      <c r="A15" s="1" t="s">
        <v>44</v>
      </c>
      <c r="B15" s="1" t="s">
        <v>45</v>
      </c>
      <c r="C15" s="1" t="s">
        <v>46</v>
      </c>
      <c r="D15" s="1" t="s">
        <v>10</v>
      </c>
      <c r="E15" s="1" t="s">
        <v>12</v>
      </c>
      <c r="F15" s="1" t="s">
        <v>14</v>
      </c>
      <c r="G15" s="1" t="s">
        <v>16</v>
      </c>
      <c r="H15" s="1" t="s">
        <v>47</v>
      </c>
      <c r="I15" s="1" t="s">
        <v>48</v>
      </c>
      <c r="J15" s="1" t="s">
        <v>49</v>
      </c>
      <c r="K15" s="1" t="s">
        <v>50</v>
      </c>
      <c r="L15" s="1" t="s">
        <v>51</v>
      </c>
      <c r="M15" s="1" t="s">
        <v>52</v>
      </c>
      <c r="N15" s="1" t="s">
        <v>29</v>
      </c>
      <c r="O15" s="1" t="s">
        <v>53</v>
      </c>
      <c r="P15" s="1" t="s">
        <v>54</v>
      </c>
      <c r="Q15" s="1" t="s">
        <v>55</v>
      </c>
      <c r="R15" s="1" t="s">
        <v>56</v>
      </c>
    </row>
    <row r="16" spans="1:18" x14ac:dyDescent="0.2">
      <c r="A16" t="str">
        <f>A10</f>
        <v>it-index</v>
      </c>
      <c r="B16" t="str">
        <f>C6</f>
        <v>s_curve</v>
      </c>
      <c r="C16">
        <f>D6</f>
        <v>10</v>
      </c>
      <c r="D16">
        <f>F6</f>
        <v>10</v>
      </c>
      <c r="E16">
        <f>H6</f>
        <v>20</v>
      </c>
      <c r="F16">
        <f>J6</f>
        <v>30</v>
      </c>
      <c r="G16">
        <f>L6</f>
        <v>0</v>
      </c>
      <c r="H16">
        <f>C16/D16-IF(D16*F16&gt;=E16^2,E16/F16+D16/E16,2*SQRT(D16/F16))</f>
        <v>-0.15470053837925146</v>
      </c>
      <c r="I16" t="str">
        <f>IF(H16&gt;=0,IF(D16*F16&gt;=E16^2,"max speed and acceleration reached","max speed reached, acceleration not"),IF(C16&gt;=2*E16^3/F16^2,"acceleration reached, max speed not","neither max speed nor acceleration reached"))</f>
        <v>neither max speed nor acceleration reached</v>
      </c>
      <c r="J16">
        <f>IF(H16&gt;=0,IF(D16*F16&gt;=E16^2,E16/F16,SQRT(D16/F16)),IF(C16&gt;=2*E16^3/F16^2,E16/F16,POWER(C16/(2*F16),1/3)))</f>
        <v>0.55032120814910446</v>
      </c>
      <c r="K16">
        <f>IF(H16&gt;=0,IF(D16*F16&gt;=E16^2,E16/F16+D16/E16,2*SQRT(D16/F16)),IF(C16&gt;=2*E16^3/F16^2,E16/(2*F16)+SQRT((E16/(2*F16))^2+C16/E16),2*POWER(C16/(2*F16),1/3)))</f>
        <v>1.1006424162982089</v>
      </c>
      <c r="L16">
        <f>IF(H16&gt;=0,H16,0)</f>
        <v>0</v>
      </c>
      <c r="M16">
        <f>2*K16+L16</f>
        <v>2.2012848325964178</v>
      </c>
      <c r="N16">
        <f>M16+G16</f>
        <v>2.2012848325964178</v>
      </c>
      <c r="O16">
        <f>0</f>
        <v>0</v>
      </c>
      <c r="P16">
        <f>O16+N16</f>
        <v>2.2012848325964178</v>
      </c>
      <c r="Q16" t="b">
        <f>N16=MAX(N16:N16)</f>
        <v>1</v>
      </c>
      <c r="R16">
        <f>IF(Q16,N16,-1)</f>
        <v>2.2012848325964178</v>
      </c>
    </row>
    <row r="17" spans="1:18" x14ac:dyDescent="0.2">
      <c r="A17" t="str">
        <f>A11</f>
        <v>it-grip-small</v>
      </c>
      <c r="B17" t="s">
        <v>57</v>
      </c>
      <c r="I17" t="s">
        <v>58</v>
      </c>
      <c r="N17">
        <f>E11</f>
        <v>4.1000000000000002E-2</v>
      </c>
      <c r="O17">
        <f>MAX(P16:P16)</f>
        <v>2.2012848325964178</v>
      </c>
      <c r="P17">
        <f>O17+N17</f>
        <v>2.2422848325964178</v>
      </c>
      <c r="Q17" t="b">
        <f>N17=MAX(N17:N18)</f>
        <v>0</v>
      </c>
      <c r="R17">
        <f>IF(Q17,N17,-1)</f>
        <v>-1</v>
      </c>
    </row>
    <row r="18" spans="1:18" x14ac:dyDescent="0.2">
      <c r="A18" t="str">
        <f>A12</f>
        <v>it-grip-large</v>
      </c>
      <c r="B18" t="s">
        <v>57</v>
      </c>
      <c r="I18" t="s">
        <v>58</v>
      </c>
      <c r="N18">
        <f>E12</f>
        <v>8.6999999999999994E-2</v>
      </c>
      <c r="O18">
        <f>MAX(P16:P16)</f>
        <v>2.2012848325964178</v>
      </c>
      <c r="P18">
        <f>O18+N18</f>
        <v>2.288284832596418</v>
      </c>
      <c r="Q18" t="b">
        <f>AND(N18=MAX(N17:N18),COUNTIF(N17:N17,MAX(N17:N18))=0)</f>
        <v>1</v>
      </c>
      <c r="R18">
        <f>IF(Q18,N18,-1)</f>
        <v>8.6999999999999994E-2</v>
      </c>
    </row>
    <row r="20" spans="1:18" x14ac:dyDescent="0.2">
      <c r="A20" s="1" t="s">
        <v>59</v>
      </c>
    </row>
    <row r="21" spans="1:18" x14ac:dyDescent="0.2">
      <c r="A21" s="1" t="s">
        <v>60</v>
      </c>
      <c r="B21" s="1" t="s">
        <v>44</v>
      </c>
      <c r="C21" s="1" t="s">
        <v>61</v>
      </c>
    </row>
    <row r="22" spans="1:18" x14ac:dyDescent="0.2">
      <c r="A22" t="s">
        <v>29</v>
      </c>
      <c r="B22" t="s">
        <v>71</v>
      </c>
      <c r="C22">
        <f>N16</f>
        <v>2.2012848325964178</v>
      </c>
    </row>
    <row r="23" spans="1:18" x14ac:dyDescent="0.2">
      <c r="A23" t="s">
        <v>29</v>
      </c>
      <c r="B23" t="s">
        <v>72</v>
      </c>
      <c r="C23">
        <f>N17</f>
        <v>4.1000000000000002E-2</v>
      </c>
    </row>
    <row r="24" spans="1:18" x14ac:dyDescent="0.2">
      <c r="A24" t="s">
        <v>29</v>
      </c>
      <c r="B24" t="s">
        <v>73</v>
      </c>
      <c r="C24">
        <f>N18</f>
        <v>8.6999999999999994E-2</v>
      </c>
    </row>
    <row r="25" spans="1:18" x14ac:dyDescent="0.2">
      <c r="A25" t="s">
        <v>62</v>
      </c>
      <c r="C25">
        <f>MAX(P16:P18)</f>
        <v>2.288284832596418</v>
      </c>
    </row>
    <row r="26" spans="1:18" x14ac:dyDescent="0.2">
      <c r="A26" t="s">
        <v>63</v>
      </c>
      <c r="C26" t="str">
        <f>INDEX(A16:A18,MATCH(MAX(R16:R18),R16:R18,0))</f>
        <v>it-index</v>
      </c>
    </row>
    <row r="27" spans="1:18" x14ac:dyDescent="0.2">
      <c r="A27" t="s">
        <v>64</v>
      </c>
      <c r="C27">
        <f>B2-C25</f>
        <v>-0.28828483259641802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workbookViewId="0"/>
  </sheetViews>
  <sheetFormatPr baseColWidth="10" defaultColWidth="8.83203125" defaultRowHeight="15" x14ac:dyDescent="0.2"/>
  <cols>
    <col min="1" max="1" width="22" customWidth="1"/>
    <col min="9" max="9" width="36" customWidth="1"/>
  </cols>
  <sheetData>
    <row r="1" spans="1:18" x14ac:dyDescent="0.2">
      <c r="A1" s="1" t="s">
        <v>0</v>
      </c>
      <c r="B1" t="s">
        <v>74</v>
      </c>
    </row>
    <row r="2" spans="1:18" x14ac:dyDescent="0.2">
      <c r="A2" s="1" t="s">
        <v>2</v>
      </c>
      <c r="B2">
        <v>1.2</v>
      </c>
      <c r="C2" t="s">
        <v>3</v>
      </c>
    </row>
    <row r="4" spans="1:18" x14ac:dyDescent="0.2">
      <c r="A4" s="1" t="s">
        <v>4</v>
      </c>
    </row>
    <row r="5" spans="1:18" x14ac:dyDescent="0.2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</row>
    <row r="6" spans="1:18" x14ac:dyDescent="0.2">
      <c r="A6" t="s">
        <v>75</v>
      </c>
      <c r="B6" t="s">
        <v>20</v>
      </c>
      <c r="C6" t="s">
        <v>21</v>
      </c>
      <c r="D6">
        <v>100</v>
      </c>
      <c r="E6" t="s">
        <v>76</v>
      </c>
      <c r="F6">
        <v>460</v>
      </c>
      <c r="G6" t="s">
        <v>76</v>
      </c>
      <c r="H6">
        <v>10000</v>
      </c>
      <c r="I6" t="s">
        <v>76</v>
      </c>
      <c r="N6" t="s">
        <v>23</v>
      </c>
    </row>
    <row r="8" spans="1:18" x14ac:dyDescent="0.2">
      <c r="A8" s="1" t="s">
        <v>26</v>
      </c>
    </row>
    <row r="9" spans="1:18" x14ac:dyDescent="0.2">
      <c r="A9" s="1" t="s">
        <v>5</v>
      </c>
      <c r="B9" s="1" t="s">
        <v>27</v>
      </c>
      <c r="C9" s="1" t="s">
        <v>6</v>
      </c>
      <c r="D9" s="1" t="s">
        <v>28</v>
      </c>
      <c r="E9" s="1" t="s">
        <v>29</v>
      </c>
      <c r="F9" s="1" t="s">
        <v>30</v>
      </c>
      <c r="G9" s="1" t="s">
        <v>31</v>
      </c>
    </row>
    <row r="10" spans="1:18" x14ac:dyDescent="0.2">
      <c r="A10" t="s">
        <v>77</v>
      </c>
      <c r="B10">
        <v>1</v>
      </c>
      <c r="C10" t="s">
        <v>33</v>
      </c>
      <c r="D10" t="s">
        <v>75</v>
      </c>
    </row>
    <row r="11" spans="1:18" x14ac:dyDescent="0.2">
      <c r="A11" t="s">
        <v>78</v>
      </c>
      <c r="B11">
        <v>2</v>
      </c>
      <c r="C11" t="s">
        <v>35</v>
      </c>
      <c r="E11">
        <v>0.5</v>
      </c>
      <c r="F11" t="s">
        <v>79</v>
      </c>
    </row>
    <row r="12" spans="1:18" x14ac:dyDescent="0.2">
      <c r="A12" t="s">
        <v>80</v>
      </c>
      <c r="B12">
        <v>3</v>
      </c>
      <c r="C12" t="s">
        <v>33</v>
      </c>
      <c r="D12" t="s">
        <v>75</v>
      </c>
    </row>
    <row r="14" spans="1:18" x14ac:dyDescent="0.2">
      <c r="A14" s="1" t="s">
        <v>43</v>
      </c>
    </row>
    <row r="15" spans="1:18" x14ac:dyDescent="0.2">
      <c r="A15" s="1" t="s">
        <v>44</v>
      </c>
      <c r="B15" s="1" t="s">
        <v>45</v>
      </c>
      <c r="C15" s="1" t="s">
        <v>46</v>
      </c>
      <c r="D15" s="1" t="s">
        <v>10</v>
      </c>
      <c r="E15" s="1" t="s">
        <v>12</v>
      </c>
      <c r="F15" s="1" t="s">
        <v>14</v>
      </c>
      <c r="G15" s="1" t="s">
        <v>16</v>
      </c>
      <c r="H15" s="1" t="s">
        <v>47</v>
      </c>
      <c r="I15" s="1" t="s">
        <v>48</v>
      </c>
      <c r="J15" s="1" t="s">
        <v>49</v>
      </c>
      <c r="K15" s="1" t="s">
        <v>50</v>
      </c>
      <c r="L15" s="1" t="s">
        <v>51</v>
      </c>
      <c r="M15" s="1" t="s">
        <v>52</v>
      </c>
      <c r="N15" s="1" t="s">
        <v>29</v>
      </c>
      <c r="O15" s="1" t="s">
        <v>53</v>
      </c>
      <c r="P15" s="1" t="s">
        <v>54</v>
      </c>
      <c r="Q15" s="1" t="s">
        <v>55</v>
      </c>
      <c r="R15" s="1" t="s">
        <v>56</v>
      </c>
    </row>
    <row r="16" spans="1:18" x14ac:dyDescent="0.2">
      <c r="A16" t="str">
        <f>A10</f>
        <v>seal-lift-down</v>
      </c>
      <c r="B16" t="str">
        <f>C6</f>
        <v>trapezoidal</v>
      </c>
      <c r="C16">
        <f>D6</f>
        <v>100</v>
      </c>
      <c r="D16">
        <f>F6</f>
        <v>460</v>
      </c>
      <c r="E16">
        <f>H6</f>
        <v>10000</v>
      </c>
      <c r="G16">
        <f>L6</f>
        <v>0</v>
      </c>
      <c r="H16">
        <f>C16/D16-D16/E16</f>
        <v>0.17139130434782607</v>
      </c>
      <c r="I16" t="str">
        <f>IF(H16&gt;=0,"trapezoidal: max speed reached","triangular: max speed not reached")</f>
        <v>trapezoidal: max speed reached</v>
      </c>
      <c r="J16">
        <f>0</f>
        <v>0</v>
      </c>
      <c r="K16">
        <f>IF(H16&gt;=0,D16/E16,SQRT(C16/E16))</f>
        <v>4.5999999999999999E-2</v>
      </c>
      <c r="L16">
        <f>IF(H16&gt;=0,H16,0)</f>
        <v>0.17139130434782607</v>
      </c>
      <c r="M16">
        <f>2*K16+L16</f>
        <v>0.26339130434782609</v>
      </c>
      <c r="N16">
        <f>M16+G16</f>
        <v>0.26339130434782609</v>
      </c>
      <c r="O16">
        <f>0</f>
        <v>0</v>
      </c>
      <c r="P16">
        <f>O16+N16</f>
        <v>0.26339130434782609</v>
      </c>
      <c r="Q16" t="b">
        <f>N16=MAX(N16:N16)</f>
        <v>1</v>
      </c>
      <c r="R16">
        <f>IF(Q16,N16,-1)</f>
        <v>0.26339130434782609</v>
      </c>
    </row>
    <row r="17" spans="1:18" x14ac:dyDescent="0.2">
      <c r="A17" t="str">
        <f>A11</f>
        <v>seal-dwell</v>
      </c>
      <c r="B17" t="s">
        <v>57</v>
      </c>
      <c r="I17" t="s">
        <v>58</v>
      </c>
      <c r="N17">
        <f>E11</f>
        <v>0.5</v>
      </c>
      <c r="O17">
        <f>MAX(P16:P16)</f>
        <v>0.26339130434782609</v>
      </c>
      <c r="P17">
        <f>O17+N17</f>
        <v>0.76339130434782609</v>
      </c>
      <c r="Q17" t="b">
        <f>N17=MAX(N17:N17)</f>
        <v>1</v>
      </c>
      <c r="R17">
        <f>IF(Q17,N17,-1)</f>
        <v>0.5</v>
      </c>
    </row>
    <row r="18" spans="1:18" x14ac:dyDescent="0.2">
      <c r="A18" t="str">
        <f>A12</f>
        <v>seal-lift-up</v>
      </c>
      <c r="B18" t="str">
        <f>C6</f>
        <v>trapezoidal</v>
      </c>
      <c r="C18">
        <f>D6</f>
        <v>100</v>
      </c>
      <c r="D18">
        <f>F6</f>
        <v>460</v>
      </c>
      <c r="E18">
        <f>H6</f>
        <v>10000</v>
      </c>
      <c r="G18">
        <f>L6</f>
        <v>0</v>
      </c>
      <c r="H18">
        <f>C18/D18-D18/E18</f>
        <v>0.17139130434782607</v>
      </c>
      <c r="I18" t="str">
        <f>IF(H18&gt;=0,"trapezoidal: max speed reached","triangular: max speed not reached")</f>
        <v>trapezoidal: max speed reached</v>
      </c>
      <c r="J18">
        <f>0</f>
        <v>0</v>
      </c>
      <c r="K18">
        <f>IF(H18&gt;=0,D18/E18,SQRT(C18/E18))</f>
        <v>4.5999999999999999E-2</v>
      </c>
      <c r="L18">
        <f>IF(H18&gt;=0,H18,0)</f>
        <v>0.17139130434782607</v>
      </c>
      <c r="M18">
        <f>2*K18+L18</f>
        <v>0.26339130434782609</v>
      </c>
      <c r="N18">
        <f>M18+G18</f>
        <v>0.26339130434782609</v>
      </c>
      <c r="O18">
        <f>MAX(P17:P17)</f>
        <v>0.76339130434782609</v>
      </c>
      <c r="P18">
        <f>O18+N18</f>
        <v>1.0267826086956522</v>
      </c>
      <c r="Q18" t="b">
        <f>N18=MAX(N18:N18)</f>
        <v>1</v>
      </c>
      <c r="R18">
        <f>IF(Q18,N18,-1)</f>
        <v>0.26339130434782609</v>
      </c>
    </row>
    <row r="20" spans="1:18" x14ac:dyDescent="0.2">
      <c r="A20" s="1" t="s">
        <v>59</v>
      </c>
    </row>
    <row r="21" spans="1:18" x14ac:dyDescent="0.2">
      <c r="A21" s="1" t="s">
        <v>60</v>
      </c>
      <c r="B21" s="1" t="s">
        <v>44</v>
      </c>
      <c r="C21" s="1" t="s">
        <v>61</v>
      </c>
    </row>
    <row r="22" spans="1:18" x14ac:dyDescent="0.2">
      <c r="A22" t="s">
        <v>29</v>
      </c>
      <c r="B22" t="s">
        <v>77</v>
      </c>
      <c r="C22">
        <f>N16</f>
        <v>0.26339130434782609</v>
      </c>
    </row>
    <row r="23" spans="1:18" x14ac:dyDescent="0.2">
      <c r="A23" t="s">
        <v>29</v>
      </c>
      <c r="B23" t="s">
        <v>78</v>
      </c>
      <c r="C23">
        <f>N17</f>
        <v>0.5</v>
      </c>
    </row>
    <row r="24" spans="1:18" x14ac:dyDescent="0.2">
      <c r="A24" t="s">
        <v>29</v>
      </c>
      <c r="B24" t="s">
        <v>80</v>
      </c>
      <c r="C24">
        <f>N18</f>
        <v>0.26339130434782609</v>
      </c>
    </row>
    <row r="25" spans="1:18" x14ac:dyDescent="0.2">
      <c r="A25" t="s">
        <v>62</v>
      </c>
      <c r="C25">
        <f>MAX(P16:P18)</f>
        <v>1.0267826086956522</v>
      </c>
    </row>
    <row r="26" spans="1:18" x14ac:dyDescent="0.2">
      <c r="A26" t="s">
        <v>63</v>
      </c>
      <c r="C26" t="str">
        <f>INDEX(A16:A18,MATCH(MAX(R16:R18),R16:R18,0))</f>
        <v>seal-dwell</v>
      </c>
    </row>
    <row r="27" spans="1:18" x14ac:dyDescent="0.2">
      <c r="A27" t="s">
        <v>64</v>
      </c>
      <c r="C27">
        <f>B2-C25</f>
        <v>0.17321739130434777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5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x14ac:dyDescent="0.2">
      <c r="A2" t="s">
        <v>69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 spans="1:6" x14ac:dyDescent="0.2">
      <c r="A3" t="s">
        <v>22</v>
      </c>
      <c r="B3" t="s">
        <v>91</v>
      </c>
      <c r="C3" t="s">
        <v>92</v>
      </c>
      <c r="D3" t="s">
        <v>93</v>
      </c>
      <c r="E3" t="s">
        <v>94</v>
      </c>
      <c r="F3" t="s">
        <v>90</v>
      </c>
    </row>
    <row r="4" spans="1:6" x14ac:dyDescent="0.2">
      <c r="A4" t="s">
        <v>25</v>
      </c>
      <c r="B4" t="s">
        <v>95</v>
      </c>
      <c r="C4" t="s">
        <v>96</v>
      </c>
      <c r="D4" t="s">
        <v>97</v>
      </c>
      <c r="E4" t="s">
        <v>98</v>
      </c>
      <c r="F4" t="s">
        <v>90</v>
      </c>
    </row>
    <row r="5" spans="1:6" x14ac:dyDescent="0.2">
      <c r="A5" t="s">
        <v>36</v>
      </c>
      <c r="B5" t="s">
        <v>99</v>
      </c>
      <c r="C5" t="s">
        <v>100</v>
      </c>
      <c r="D5" t="s">
        <v>101</v>
      </c>
      <c r="E5" t="s">
        <v>102</v>
      </c>
      <c r="F5" t="s">
        <v>90</v>
      </c>
    </row>
    <row r="6" spans="1:6" x14ac:dyDescent="0.2">
      <c r="A6" t="s">
        <v>76</v>
      </c>
      <c r="B6" t="s">
        <v>103</v>
      </c>
      <c r="C6" t="s">
        <v>104</v>
      </c>
      <c r="D6" t="s">
        <v>105</v>
      </c>
      <c r="E6" t="s">
        <v>106</v>
      </c>
      <c r="F6" t="s">
        <v>90</v>
      </c>
    </row>
    <row r="7" spans="1:6" x14ac:dyDescent="0.2">
      <c r="A7" t="s">
        <v>79</v>
      </c>
      <c r="B7" t="s">
        <v>107</v>
      </c>
      <c r="C7" t="s">
        <v>108</v>
      </c>
      <c r="D7" t="s">
        <v>109</v>
      </c>
      <c r="E7" t="s">
        <v>110</v>
      </c>
      <c r="F7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pick_and_place</vt:lpstr>
      <vt:lpstr>indexing_table</vt:lpstr>
      <vt:lpstr>sealing_station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2026-10-30T17:54:00Z</dcterms:created>
  <dcterms:modified xsi:type="dcterms:W3CDTF">2026-10-30T17:54:42Z</dcterms:modified>
</cp:coreProperties>
</file>